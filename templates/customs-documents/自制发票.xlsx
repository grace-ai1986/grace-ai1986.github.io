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840" windowHeight="9675"/>
  </bookViews>
  <sheets>
    <sheet name="PACKING" sheetId="27" r:id="rId1"/>
  </sheets>
  <definedNames>
    <definedName name="_xlnm.Print_Area" localSheetId="0">PACKING!$A$1:$G$54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7"/>
  <c r="E27"/>
  <c r="D27"/>
  <c r="B21"/>
</calcChain>
</file>

<file path=xl/sharedStrings.xml><?xml version="1.0" encoding="utf-8"?>
<sst xmlns="http://schemas.openxmlformats.org/spreadsheetml/2006/main" count="51" uniqueCount="48">
  <si>
    <t>形式发票</t>
  </si>
  <si>
    <t>捷豹路虎有限公司</t>
  </si>
  <si>
    <r>
      <rPr>
        <sz val="10"/>
        <rFont val="돋움체"/>
        <family val="3"/>
      </rPr>
      <t>⑧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发票号</t>
    </r>
    <r>
      <rPr>
        <sz val="10"/>
        <rFont val="Arial"/>
        <family val="2"/>
      </rPr>
      <t>&amp;</t>
    </r>
    <r>
      <rPr>
        <sz val="10"/>
        <rFont val="宋体"/>
        <family val="3"/>
        <charset val="134"/>
      </rPr>
      <t>发票日期</t>
    </r>
  </si>
  <si>
    <t>艾比路惠特利</t>
  </si>
  <si>
    <r>
      <rPr>
        <sz val="10"/>
        <rFont val="宋体"/>
        <family val="3"/>
        <charset val="134"/>
      </rPr>
      <t>电话</t>
    </r>
    <r>
      <rPr>
        <sz val="10"/>
        <rFont val="Tahoma"/>
        <family val="2"/>
      </rPr>
      <t>:024760303080</t>
    </r>
  </si>
  <si>
    <r>
      <rPr>
        <sz val="10"/>
        <rFont val="宋体"/>
        <family val="3"/>
        <charset val="134"/>
      </rPr>
      <t>考文垂</t>
    </r>
    <r>
      <rPr>
        <sz val="10"/>
        <rFont val="Tahoma"/>
        <family val="2"/>
      </rPr>
      <t xml:space="preserve"> CV3 4LF</t>
    </r>
  </si>
  <si>
    <r>
      <rPr>
        <sz val="10"/>
        <rFont val="宋体"/>
        <family val="3"/>
        <charset val="134"/>
      </rPr>
      <t>国际</t>
    </r>
    <r>
      <rPr>
        <sz val="10"/>
        <rFont val="Tahoma"/>
        <family val="2"/>
      </rPr>
      <t>:+442476 303080</t>
    </r>
  </si>
  <si>
    <r>
      <rPr>
        <sz val="10"/>
        <rFont val="돋움체"/>
        <family val="3"/>
      </rPr>
      <t>⑨</t>
    </r>
    <r>
      <rPr>
        <sz val="10"/>
        <rFont val="宋体"/>
        <family val="3"/>
        <charset val="134"/>
      </rPr>
      <t>备注</t>
    </r>
    <r>
      <rPr>
        <sz val="10"/>
        <rFont val="Arial"/>
        <family val="2"/>
      </rPr>
      <t xml:space="preserve"> :</t>
    </r>
  </si>
  <si>
    <r>
      <rPr>
        <sz val="10"/>
        <rFont val="宋体"/>
        <family val="3"/>
        <charset val="134"/>
      </rPr>
      <t>电话</t>
    </r>
    <r>
      <rPr>
        <sz val="10"/>
        <rFont val="Tahoma"/>
        <family val="2"/>
      </rPr>
      <t>:02476303080</t>
    </r>
  </si>
  <si>
    <r>
      <rPr>
        <sz val="10"/>
        <rFont val="궁서체"/>
        <charset val="134"/>
      </rPr>
      <t>①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发货人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出口商</t>
    </r>
  </si>
  <si>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海运</t>
    </r>
  </si>
  <si>
    <t xml:space="preserve">  捷豹路虎有限公司</t>
  </si>
  <si>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成交方式：</t>
    </r>
    <r>
      <rPr>
        <sz val="10"/>
        <rFont val="Arial"/>
        <family val="2"/>
      </rPr>
      <t xml:space="preserve">CIF </t>
    </r>
    <r>
      <rPr>
        <sz val="10"/>
        <rFont val="宋体"/>
        <family val="3"/>
        <charset val="134"/>
      </rPr>
      <t>天津</t>
    </r>
  </si>
  <si>
    <r>
      <rPr>
        <sz val="10"/>
        <rFont val="Arial"/>
        <family val="2"/>
      </rPr>
      <t xml:space="preserve">     </t>
    </r>
    <r>
      <rPr>
        <sz val="10"/>
        <rFont val="宋体"/>
        <family val="3"/>
        <charset val="134"/>
      </rPr>
      <t>英国西米德兰索利霍尔西北</t>
    </r>
  </si>
  <si>
    <t xml:space="preserve">     B92 8NW</t>
  </si>
  <si>
    <r>
      <rPr>
        <sz val="10"/>
        <rFont val="궁서체"/>
        <charset val="134"/>
      </rPr>
      <t>②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抬头人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收货人</t>
    </r>
  </si>
  <si>
    <t xml:space="preserve">  捷豹路虎（中国）投资有限公司</t>
  </si>
  <si>
    <t>原产地：英国</t>
  </si>
  <si>
    <r>
      <rPr>
        <sz val="10"/>
        <rFont val="Arial"/>
        <family val="2"/>
      </rPr>
      <t xml:space="preserve">     </t>
    </r>
    <r>
      <rPr>
        <sz val="10"/>
        <rFont val="宋体"/>
        <family val="3"/>
        <charset val="134"/>
      </rPr>
      <t>中国上海市浦东新区浦东新区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东育路</t>
    </r>
    <r>
      <rPr>
        <sz val="10"/>
        <rFont val="Arial"/>
        <family val="2"/>
      </rPr>
      <t>227</t>
    </r>
    <r>
      <rPr>
        <sz val="10"/>
        <rFont val="宋体"/>
        <family val="3"/>
        <charset val="134"/>
      </rPr>
      <t>弄前滩世贸中心（二期）</t>
    </r>
  </si>
  <si>
    <t xml:space="preserve">     200126</t>
  </si>
  <si>
    <r>
      <rPr>
        <sz val="10"/>
        <rFont val="궁서체"/>
        <charset val="134"/>
      </rPr>
      <t>③</t>
    </r>
    <r>
      <rPr>
        <sz val="10"/>
        <rFont val="Arial"/>
        <family val="2"/>
      </rPr>
      <t xml:space="preserve"> </t>
    </r>
    <r>
      <rPr>
        <sz val="10"/>
        <rFont val="궁서체"/>
        <charset val="134"/>
      </rPr>
      <t>通知人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</si>
  <si>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中国上海市浦东新区浦东新区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东育路</t>
    </r>
    <r>
      <rPr>
        <sz val="10"/>
        <rFont val="Arial"/>
        <family val="2"/>
      </rPr>
      <t>227</t>
    </r>
    <r>
      <rPr>
        <sz val="10"/>
        <rFont val="宋体"/>
        <family val="3"/>
        <charset val="134"/>
      </rPr>
      <t>弄前滩世贸中心（二期）</t>
    </r>
  </si>
  <si>
    <r>
      <rPr>
        <sz val="10"/>
        <rFont val="궁서체"/>
        <charset val="134"/>
      </rPr>
      <t>④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装运港</t>
    </r>
  </si>
  <si>
    <r>
      <rPr>
        <sz val="10"/>
        <rFont val="궁서체"/>
        <charset val="134"/>
      </rPr>
      <t>⑤</t>
    </r>
    <r>
      <rPr>
        <sz val="10"/>
        <rFont val="Arial"/>
        <family val="2"/>
      </rPr>
      <t xml:space="preserve"> </t>
    </r>
    <r>
      <rPr>
        <sz val="10"/>
        <rFont val="궁서체"/>
        <charset val="134"/>
      </rPr>
      <t>目的港</t>
    </r>
  </si>
  <si>
    <t>南安普顿</t>
  </si>
  <si>
    <t>天津</t>
  </si>
  <si>
    <r>
      <rPr>
        <sz val="10"/>
        <rFont val="궁서체"/>
        <charset val="134"/>
      </rPr>
      <t>⑥</t>
    </r>
    <r>
      <rPr>
        <sz val="10"/>
        <rFont val="Arial"/>
        <family val="2"/>
      </rPr>
      <t xml:space="preserve"> </t>
    </r>
    <r>
      <rPr>
        <sz val="10"/>
        <rFont val="궁서체"/>
        <charset val="134"/>
      </rPr>
      <t>船名</t>
    </r>
  </si>
  <si>
    <r>
      <rPr>
        <sz val="10"/>
        <rFont val="궁서체"/>
        <charset val="134"/>
      </rPr>
      <t>⑦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装运日期</t>
    </r>
  </si>
  <si>
    <r>
      <rPr>
        <sz val="10"/>
        <rFont val="MS Gothic"/>
        <family val="3"/>
        <charset val="128"/>
      </rPr>
      <t>⑫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唛头</t>
    </r>
  </si>
  <si>
    <r>
      <rPr>
        <sz val="10"/>
        <rFont val="궁서체"/>
        <charset val="134"/>
      </rPr>
      <t>⑬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货物描述</t>
    </r>
  </si>
  <si>
    <r>
      <rPr>
        <sz val="10"/>
        <rFont val="돋움체"/>
        <family val="3"/>
      </rPr>
      <t>⑫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数量</t>
    </r>
  </si>
  <si>
    <r>
      <rPr>
        <sz val="10"/>
        <rFont val="돋움체"/>
        <family val="3"/>
      </rPr>
      <t>⑬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净重</t>
    </r>
  </si>
  <si>
    <t>发票金额（人民币）</t>
  </si>
  <si>
    <t>捷豹路虎（中国）投资有限公司</t>
  </si>
  <si>
    <r>
      <rPr>
        <sz val="10"/>
        <rFont val="宋体"/>
        <family val="3"/>
        <charset val="134"/>
      </rPr>
      <t>上海，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中国</t>
    </r>
  </si>
  <si>
    <t xml:space="preserve"> </t>
  </si>
  <si>
    <t>总计</t>
  </si>
  <si>
    <r>
      <rPr>
        <sz val="10"/>
        <rFont val="MS Gothic"/>
        <family val="3"/>
        <charset val="128"/>
      </rPr>
      <t>⑯</t>
    </r>
    <r>
      <rPr>
        <sz val="10"/>
        <rFont val="宋体"/>
        <family val="3"/>
        <charset val="134"/>
      </rPr>
      <t>签名</t>
    </r>
  </si>
  <si>
    <r>
      <rPr>
        <sz val="8"/>
        <rFont val="宋体"/>
        <family val="3"/>
        <charset val="134"/>
      </rPr>
      <t>兹证</t>
    </r>
    <r>
      <rPr>
        <sz val="8"/>
        <rFont val="Meiryo"/>
        <family val="2"/>
      </rPr>
      <t>明本</t>
    </r>
    <r>
      <rPr>
        <sz val="8"/>
        <rFont val="宋体"/>
        <family val="3"/>
        <charset val="134"/>
      </rPr>
      <t>发</t>
    </r>
    <r>
      <rPr>
        <sz val="8"/>
        <rFont val="Meiryo"/>
        <family val="2"/>
      </rPr>
      <t>票上的</t>
    </r>
    <r>
      <rPr>
        <sz val="8"/>
        <rFont val="宋体"/>
        <family val="3"/>
        <charset val="134"/>
      </rPr>
      <t>货</t>
    </r>
    <r>
      <rPr>
        <sz val="8"/>
        <rFont val="Meiryo"/>
        <family val="2"/>
      </rPr>
      <t>物属英国生</t>
    </r>
    <r>
      <rPr>
        <sz val="8"/>
        <rFont val="宋体"/>
        <family val="3"/>
        <charset val="134"/>
      </rPr>
      <t>产</t>
    </r>
    <r>
      <rPr>
        <sz val="8"/>
        <rFont val="Meiryo"/>
        <family val="2"/>
      </rPr>
      <t>且</t>
    </r>
    <r>
      <rPr>
        <sz val="8"/>
        <rFont val="宋体"/>
        <family val="3"/>
        <charset val="134"/>
      </rPr>
      <t>发</t>
    </r>
    <r>
      <rPr>
        <sz val="8"/>
        <rFont val="Meiryo"/>
        <family val="2"/>
      </rPr>
      <t>票是真</t>
    </r>
    <r>
      <rPr>
        <sz val="8"/>
        <rFont val="宋体"/>
        <family val="3"/>
        <charset val="134"/>
      </rPr>
      <t>实</t>
    </r>
    <r>
      <rPr>
        <sz val="8"/>
        <rFont val="Meiryo"/>
        <family val="2"/>
      </rPr>
      <t>正</t>
    </r>
    <r>
      <rPr>
        <sz val="8"/>
        <rFont val="宋体"/>
        <family val="3"/>
        <charset val="134"/>
      </rPr>
      <t>确</t>
    </r>
    <r>
      <rPr>
        <sz val="8"/>
        <rFont val="Meiryo"/>
        <family val="2"/>
      </rPr>
      <t>的。</t>
    </r>
  </si>
  <si>
    <r>
      <t>揽胜3.0</t>
    </r>
    <r>
      <rPr>
        <sz val="11"/>
        <rFont val="宋体"/>
        <family val="3"/>
        <charset val="134"/>
      </rPr>
      <t xml:space="preserve">L越野车  (规格型号：T/C PETROL MHEV AWD 5 DOOR AUTO </t>
    </r>
    <r>
      <rPr>
        <sz val="11"/>
        <rFont val="宋体"/>
        <family val="3"/>
        <charset val="134"/>
      </rPr>
      <t>400</t>
    </r>
    <r>
      <rPr>
        <sz val="11"/>
        <rFont val="宋体"/>
        <family val="3"/>
        <charset val="134"/>
      </rPr>
      <t xml:space="preserve">PS SV 4 SEATS) 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台</t>
    </r>
    <phoneticPr fontId="24" type="noConversion"/>
  </si>
  <si>
    <t>22/8/2026</t>
    <phoneticPr fontId="24" type="noConversion"/>
  </si>
  <si>
    <r>
      <t>揽胜4.4</t>
    </r>
    <r>
      <rPr>
        <sz val="11"/>
        <rFont val="宋体"/>
        <family val="3"/>
        <charset val="134"/>
      </rPr>
      <t>L越野车  (规格型号：T/C PETROL MHEV AWD 5 DOOR AUTO 615PS SV 4 SEATS) 3台</t>
    </r>
    <phoneticPr fontId="24" type="noConversion"/>
  </si>
  <si>
    <r>
      <t xml:space="preserve">揽胜3.0L越野车  (规格型号：T/C PETROL MHEV AWD 5 DOOR AUTO 400PS HSE) </t>
    </r>
    <r>
      <rPr>
        <sz val="11"/>
        <rFont val="宋体"/>
        <family val="3"/>
        <charset val="134"/>
      </rPr>
      <t>4台</t>
    </r>
    <phoneticPr fontId="24" type="noConversion"/>
  </si>
  <si>
    <r>
      <t xml:space="preserve">揽胜3.0L越野车  (规格型号：T/C PETROL MHEV AWD 5 DOOR LWB AUTO 400PS HSE) </t>
    </r>
    <r>
      <rPr>
        <sz val="11"/>
        <rFont val="宋体"/>
        <family val="3"/>
        <charset val="134"/>
      </rPr>
      <t>8台</t>
    </r>
    <phoneticPr fontId="24" type="noConversion"/>
  </si>
  <si>
    <r>
      <t xml:space="preserve">揽胜3.0L越野车  (规格型号：T/C PETROL MHEV AWD 5 DOOR AUTO 400PS AUTOBIOGRAPHY) </t>
    </r>
    <r>
      <rPr>
        <sz val="11"/>
        <rFont val="宋体"/>
        <family val="3"/>
        <charset val="134"/>
      </rPr>
      <t>9台</t>
    </r>
    <phoneticPr fontId="24" type="noConversion"/>
  </si>
  <si>
    <t>揽胜3.0L越野车  (规格型号：T/C PETROL MHEV AWD 5 DOOR LWB AUTO 400PS AUTOBIOGRAPHY) 10台</t>
    <phoneticPr fontId="24" type="noConversion"/>
  </si>
  <si>
    <r>
      <t xml:space="preserve">揽胜运动3.0L越野车  (规格型号：T/C PETROL MHEV AWD 5 DOOR AUTO 400PS DYNAMIC SE) </t>
    </r>
    <r>
      <rPr>
        <sz val="11"/>
        <rFont val="宋体"/>
        <family val="3"/>
        <charset val="134"/>
      </rPr>
      <t>10台</t>
    </r>
    <phoneticPr fontId="24" type="noConversion"/>
  </si>
  <si>
    <t>MORNING COMPOSER</t>
    <phoneticPr fontId="24" type="noConversion"/>
  </si>
</sst>
</file>

<file path=xl/styles.xml><?xml version="1.0" encoding="utf-8"?>
<styleSheet xmlns="http://schemas.openxmlformats.org/spreadsheetml/2006/main">
  <numFmts count="7">
    <numFmt numFmtId="176" formatCode="_-* #,##0_-;\-* #,##0_-;_-* &quot;-&quot;_-;_-@_-"/>
    <numFmt numFmtId="177" formatCode="#,##0\ &quot;SETS&quot;\ \ \ "/>
    <numFmt numFmtId="178" formatCode="#,##0\ &quot;KGS&quot;"/>
    <numFmt numFmtId="179" formatCode="#,##0.000\ &quot;CBM&quot;"/>
    <numFmt numFmtId="180" formatCode="#,##0\ &quot;台&quot;\ \ "/>
    <numFmt numFmtId="181" formatCode="#,##0\ &quot;千克&quot;"/>
    <numFmt numFmtId="182" formatCode="\¥#,##0.00_);[Red]\(\¥#,##0.00\)"/>
  </numFmts>
  <fonts count="26">
    <font>
      <sz val="12"/>
      <name val="바탕체"/>
      <charset val="129"/>
    </font>
    <font>
      <sz val="12"/>
      <name val="돋움체"/>
      <family val="3"/>
    </font>
    <font>
      <sz val="10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sz val="26"/>
      <name val="宋体"/>
      <family val="3"/>
      <charset val="134"/>
    </font>
    <font>
      <b/>
      <sz val="26"/>
      <name val="Euro Sign"/>
      <family val="2"/>
    </font>
    <font>
      <sz val="10"/>
      <name val="宋体"/>
      <family val="3"/>
      <charset val="134"/>
    </font>
    <font>
      <sz val="10"/>
      <name val="Euro Sign"/>
      <family val="2"/>
    </font>
    <font>
      <sz val="10"/>
      <name val="돋움체"/>
      <family val="3"/>
    </font>
    <font>
      <sz val="10"/>
      <name val="Tahoma"/>
      <family val="2"/>
    </font>
    <font>
      <sz val="10"/>
      <name val="궁서체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b/>
      <sz val="14"/>
      <name val="宋体"/>
      <family val="3"/>
      <charset val="134"/>
    </font>
    <font>
      <b/>
      <sz val="14"/>
      <name val="Arial"/>
      <family val="2"/>
    </font>
    <font>
      <b/>
      <u/>
      <sz val="10"/>
      <name val="Arial"/>
      <family val="2"/>
    </font>
    <font>
      <sz val="11"/>
      <name val="宋体"/>
      <family val="3"/>
      <charset val="134"/>
    </font>
    <font>
      <sz val="8"/>
      <name val="Meiryo"/>
      <family val="2"/>
    </font>
    <font>
      <sz val="10"/>
      <name val="Meiryo"/>
      <family val="2"/>
    </font>
    <font>
      <sz val="12"/>
      <name val="바탕체"/>
      <family val="3"/>
    </font>
    <font>
      <sz val="11"/>
      <name val="돋움"/>
      <family val="2"/>
    </font>
    <font>
      <sz val="8"/>
      <name val="宋体"/>
      <family val="3"/>
      <charset val="134"/>
    </font>
    <font>
      <sz val="10"/>
      <name val="MS Gothic"/>
      <family val="3"/>
      <charset val="128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3">
    <xf numFmtId="0" fontId="0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</cellStyleXfs>
  <cellXfs count="11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9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10" fillId="0" borderId="0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Continuous" vertical="center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0" xfId="0" applyBorder="1"/>
    <xf numFmtId="0" fontId="11" fillId="0" borderId="8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49" fontId="2" fillId="0" borderId="4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177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80" fontId="2" fillId="0" borderId="9" xfId="1" applyNumberFormat="1" applyFont="1" applyBorder="1" applyAlignment="1">
      <alignment horizontal="center" vertical="center"/>
    </xf>
    <xf numFmtId="181" fontId="2" fillId="0" borderId="9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80" fontId="2" fillId="0" borderId="11" xfId="1" applyNumberFormat="1" applyFont="1" applyBorder="1" applyAlignment="1">
      <alignment horizontal="center" vertical="center"/>
    </xf>
    <xf numFmtId="181" fontId="2" fillId="0" borderId="11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80" fontId="2" fillId="0" borderId="0" xfId="1" applyNumberFormat="1" applyFont="1" applyBorder="1" applyAlignment="1">
      <alignment horizontal="center" vertical="center"/>
    </xf>
    <xf numFmtId="181" fontId="2" fillId="0" borderId="0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80" fontId="2" fillId="0" borderId="0" xfId="1" applyNumberFormat="1" applyFont="1" applyBorder="1" applyAlignment="1">
      <alignment vertical="center"/>
    </xf>
    <xf numFmtId="181" fontId="2" fillId="0" borderId="0" xfId="0" applyNumberFormat="1" applyFont="1" applyBorder="1" applyAlignment="1">
      <alignment vertical="center"/>
    </xf>
    <xf numFmtId="182" fontId="2" fillId="0" borderId="0" xfId="0" applyNumberFormat="1" applyFont="1" applyBorder="1" applyAlignment="1">
      <alignment vertical="center"/>
    </xf>
    <xf numFmtId="182" fontId="2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7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6" fontId="2" fillId="0" borderId="4" xfId="0" applyNumberFormat="1" applyFont="1" applyBorder="1" applyAlignment="1">
      <alignment horizontal="center" vertical="center"/>
    </xf>
    <xf numFmtId="16" fontId="2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82" fontId="2" fillId="0" borderId="9" xfId="0" applyNumberFormat="1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182" fontId="2" fillId="0" borderId="0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</cellXfs>
  <cellStyles count="3">
    <cellStyle name="常规" xfId="0" builtinId="0"/>
    <cellStyle name="千位分隔[0]" xfId="1" builtinId="6"/>
    <cellStyle name="콤마 [0]_MMMMMMMM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17</xdr:row>
      <xdr:rowOff>0</xdr:rowOff>
    </xdr:from>
    <xdr:to>
      <xdr:col>0</xdr:col>
      <xdr:colOff>647700</xdr:colOff>
      <xdr:row>18</xdr:row>
      <xdr:rowOff>38100</xdr:rowOff>
    </xdr:to>
    <xdr:sp macro="" textlink="">
      <xdr:nvSpPr>
        <xdr:cNvPr id="29505" name="Text Box 1"/>
        <xdr:cNvSpPr txBox="1">
          <a:spLocks noChangeArrowheads="1"/>
        </xdr:cNvSpPr>
      </xdr:nvSpPr>
      <xdr:spPr>
        <a:xfrm>
          <a:off x="57150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571500</xdr:colOff>
      <xdr:row>17</xdr:row>
      <xdr:rowOff>0</xdr:rowOff>
    </xdr:from>
    <xdr:to>
      <xdr:col>0</xdr:col>
      <xdr:colOff>647700</xdr:colOff>
      <xdr:row>18</xdr:row>
      <xdr:rowOff>38100</xdr:rowOff>
    </xdr:to>
    <xdr:sp macro="" textlink="">
      <xdr:nvSpPr>
        <xdr:cNvPr id="29506" name="Text Box 2"/>
        <xdr:cNvSpPr txBox="1">
          <a:spLocks noChangeArrowheads="1"/>
        </xdr:cNvSpPr>
      </xdr:nvSpPr>
      <xdr:spPr>
        <a:xfrm>
          <a:off x="57150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571500</xdr:colOff>
      <xdr:row>17</xdr:row>
      <xdr:rowOff>0</xdr:rowOff>
    </xdr:from>
    <xdr:to>
      <xdr:col>0</xdr:col>
      <xdr:colOff>647700</xdr:colOff>
      <xdr:row>18</xdr:row>
      <xdr:rowOff>38100</xdr:rowOff>
    </xdr:to>
    <xdr:sp macro="" textlink="">
      <xdr:nvSpPr>
        <xdr:cNvPr id="29507" name="Text Box 4"/>
        <xdr:cNvSpPr txBox="1">
          <a:spLocks noChangeArrowheads="1"/>
        </xdr:cNvSpPr>
      </xdr:nvSpPr>
      <xdr:spPr>
        <a:xfrm>
          <a:off x="57150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571500</xdr:colOff>
      <xdr:row>17</xdr:row>
      <xdr:rowOff>0</xdr:rowOff>
    </xdr:from>
    <xdr:to>
      <xdr:col>0</xdr:col>
      <xdr:colOff>647700</xdr:colOff>
      <xdr:row>18</xdr:row>
      <xdr:rowOff>38100</xdr:rowOff>
    </xdr:to>
    <xdr:sp macro="" textlink="">
      <xdr:nvSpPr>
        <xdr:cNvPr id="29508" name="Text Box 5"/>
        <xdr:cNvSpPr txBox="1">
          <a:spLocks noChangeArrowheads="1"/>
        </xdr:cNvSpPr>
      </xdr:nvSpPr>
      <xdr:spPr>
        <a:xfrm>
          <a:off x="57150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09" name="Text Box 6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0" name="Text Box 7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1" name="Text Box 8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2" name="Text Box 9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3" name="Text Box 10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4" name="Text Box 11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5" name="Text Box 12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6" name="Text Box 13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7" name="Text Box 14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8" name="Text Box 15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19" name="Text Box 16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20" name="Text Box 17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21" name="Text Box 18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22" name="Text Box 19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514350</xdr:colOff>
      <xdr:row>17</xdr:row>
      <xdr:rowOff>0</xdr:rowOff>
    </xdr:from>
    <xdr:to>
      <xdr:col>0</xdr:col>
      <xdr:colOff>590550</xdr:colOff>
      <xdr:row>18</xdr:row>
      <xdr:rowOff>38100</xdr:rowOff>
    </xdr:to>
    <xdr:sp macro="" textlink="">
      <xdr:nvSpPr>
        <xdr:cNvPr id="29523" name="Text Box 20"/>
        <xdr:cNvSpPr txBox="1">
          <a:spLocks noChangeArrowheads="1"/>
        </xdr:cNvSpPr>
      </xdr:nvSpPr>
      <xdr:spPr>
        <a:xfrm>
          <a:off x="514350" y="3467100"/>
          <a:ext cx="76200" cy="2190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0</xdr:col>
      <xdr:colOff>19050</xdr:colOff>
      <xdr:row>1</xdr:row>
      <xdr:rowOff>85725</xdr:rowOff>
    </xdr:from>
    <xdr:to>
      <xdr:col>0</xdr:col>
      <xdr:colOff>1885950</xdr:colOff>
      <xdr:row>4</xdr:row>
      <xdr:rowOff>19050</xdr:rowOff>
    </xdr:to>
    <xdr:pic>
      <xdr:nvPicPr>
        <xdr:cNvPr id="29524" name="图片 23" descr="logo-doc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050" y="590550"/>
          <a:ext cx="18669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914400</xdr:colOff>
      <xdr:row>49</xdr:row>
      <xdr:rowOff>0</xdr:rowOff>
    </xdr:from>
    <xdr:to>
      <xdr:col>6</xdr:col>
      <xdr:colOff>561976</xdr:colOff>
      <xdr:row>51</xdr:row>
      <xdr:rowOff>86964</xdr:rowOff>
    </xdr:to>
    <xdr:pic>
      <xdr:nvPicPr>
        <xdr:cNvPr id="29525" name="图片 22" descr="JLR签名.png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-6000" contrast="44000"/>
        </a:blip>
        <a:srcRect/>
        <a:stretch>
          <a:fillRect/>
        </a:stretch>
      </xdr:blipFill>
      <xdr:spPr>
        <a:xfrm>
          <a:off x="6121400" y="9613265"/>
          <a:ext cx="1476375" cy="486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024760303080" TargetMode="External"/><Relationship Id="rId1" Type="http://schemas.openxmlformats.org/officeDocument/2006/relationships/hyperlink" Target="tel:0247630308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>
      <selection activeCell="A21" sqref="A21"/>
    </sheetView>
  </sheetViews>
  <sheetFormatPr defaultColWidth="8.75" defaultRowHeight="14.25"/>
  <cols>
    <col min="1" max="1" width="25.625" style="4" customWidth="1"/>
    <col min="2" max="2" width="11.375" style="4" customWidth="1"/>
    <col min="3" max="3" width="17" style="4" customWidth="1"/>
    <col min="4" max="4" width="15" style="4" customWidth="1"/>
    <col min="5" max="5" width="11.375" style="4" customWidth="1"/>
    <col min="6" max="6" width="12" style="4" customWidth="1"/>
    <col min="7" max="7" width="12.5" style="4" customWidth="1"/>
    <col min="8" max="16384" width="8.75" style="4"/>
  </cols>
  <sheetData>
    <row r="1" spans="1:13" s="1" customFormat="1" ht="39.75" customHeight="1">
      <c r="A1" s="5"/>
      <c r="B1" s="5"/>
      <c r="C1" s="5"/>
      <c r="D1" s="80" t="s">
        <v>0</v>
      </c>
      <c r="E1" s="81"/>
      <c r="F1" s="81"/>
      <c r="G1" s="81"/>
    </row>
    <row r="2" spans="1:13">
      <c r="A2" s="5"/>
      <c r="B2" s="82" t="s">
        <v>1</v>
      </c>
      <c r="C2" s="83"/>
      <c r="D2" s="7" t="s">
        <v>2</v>
      </c>
      <c r="E2" s="8"/>
      <c r="F2" s="8"/>
      <c r="G2" s="9"/>
    </row>
    <row r="3" spans="1:13" ht="15" customHeight="1">
      <c r="A3" s="5"/>
      <c r="B3" s="6" t="s">
        <v>3</v>
      </c>
      <c r="C3" s="10" t="s">
        <v>4</v>
      </c>
      <c r="D3" s="84">
        <v>300152744</v>
      </c>
      <c r="E3" s="85"/>
      <c r="F3" s="11"/>
      <c r="G3" s="12" t="s">
        <v>40</v>
      </c>
    </row>
    <row r="4" spans="1:13" ht="17.25" customHeight="1">
      <c r="A4" s="13"/>
      <c r="B4" s="14" t="s">
        <v>5</v>
      </c>
      <c r="C4" s="15" t="s">
        <v>6</v>
      </c>
      <c r="D4" s="7" t="s">
        <v>7</v>
      </c>
      <c r="E4" s="16"/>
      <c r="F4" s="16"/>
      <c r="G4" s="17"/>
    </row>
    <row r="5" spans="1:13" ht="13.5" customHeight="1">
      <c r="A5" s="18"/>
      <c r="B5" s="19" t="s">
        <v>8</v>
      </c>
      <c r="C5" s="20"/>
      <c r="D5" s="21"/>
      <c r="E5" s="2"/>
      <c r="F5" s="2"/>
      <c r="G5" s="22"/>
      <c r="I5" s="23"/>
      <c r="J5" s="23"/>
      <c r="K5" s="23"/>
      <c r="L5" s="23"/>
      <c r="M5" s="23"/>
    </row>
    <row r="6" spans="1:13" s="2" customFormat="1" ht="14.25" customHeight="1">
      <c r="A6" s="24" t="s">
        <v>9</v>
      </c>
      <c r="B6" s="25"/>
      <c r="C6" s="22"/>
      <c r="D6" s="21" t="s">
        <v>10</v>
      </c>
      <c r="G6" s="22"/>
      <c r="I6" s="23"/>
      <c r="J6" s="23"/>
      <c r="K6" s="23"/>
      <c r="L6" s="23"/>
      <c r="M6" s="23"/>
    </row>
    <row r="7" spans="1:13" s="2" customFormat="1" ht="14.25" customHeight="1">
      <c r="A7" s="26" t="s">
        <v>11</v>
      </c>
      <c r="B7" s="27"/>
      <c r="C7" s="22"/>
      <c r="D7" s="21" t="s">
        <v>12</v>
      </c>
      <c r="G7" s="22"/>
      <c r="I7" s="23"/>
      <c r="J7" s="23"/>
      <c r="K7" s="23"/>
      <c r="L7" s="23"/>
      <c r="M7" s="23"/>
    </row>
    <row r="8" spans="1:13" s="2" customFormat="1" ht="14.25" customHeight="1">
      <c r="A8" s="21" t="s">
        <v>13</v>
      </c>
      <c r="C8" s="22"/>
      <c r="D8" s="21"/>
      <c r="G8" s="22"/>
      <c r="I8" s="23"/>
      <c r="J8" s="23"/>
      <c r="K8" s="23"/>
      <c r="L8" s="23"/>
      <c r="M8" s="23"/>
    </row>
    <row r="9" spans="1:13" s="2" customFormat="1" ht="14.25" customHeight="1">
      <c r="A9" s="28" t="s">
        <v>14</v>
      </c>
      <c r="B9" s="11"/>
      <c r="C9" s="29"/>
      <c r="D9" s="21"/>
      <c r="G9" s="22"/>
      <c r="I9" s="23"/>
      <c r="J9" s="23"/>
      <c r="K9" s="23"/>
      <c r="L9" s="23"/>
      <c r="M9" s="23"/>
    </row>
    <row r="10" spans="1:13" s="2" customFormat="1" ht="14.25" customHeight="1">
      <c r="A10" s="30" t="s">
        <v>15</v>
      </c>
      <c r="B10" s="31"/>
      <c r="C10" s="17"/>
      <c r="D10" s="21"/>
      <c r="E10" s="32"/>
      <c r="G10" s="22"/>
    </row>
    <row r="11" spans="1:13" s="2" customFormat="1" ht="14.25" customHeight="1">
      <c r="A11" s="26" t="s">
        <v>16</v>
      </c>
      <c r="B11" s="27"/>
      <c r="C11" s="22"/>
      <c r="D11" s="21"/>
      <c r="E11" s="99" t="s">
        <v>17</v>
      </c>
      <c r="F11" s="100"/>
      <c r="G11" s="22"/>
    </row>
    <row r="12" spans="1:13" s="2" customFormat="1" ht="14.25" customHeight="1">
      <c r="A12" s="21" t="s">
        <v>18</v>
      </c>
      <c r="C12" s="22"/>
      <c r="D12" s="21"/>
      <c r="E12" s="100"/>
      <c r="F12" s="100"/>
      <c r="G12" s="22"/>
    </row>
    <row r="13" spans="1:13" s="2" customFormat="1" ht="14.25" customHeight="1">
      <c r="A13" s="28" t="s">
        <v>19</v>
      </c>
      <c r="B13" s="11"/>
      <c r="C13" s="29"/>
      <c r="D13" s="21"/>
      <c r="G13" s="22"/>
    </row>
    <row r="14" spans="1:13" s="2" customFormat="1" ht="14.25" customHeight="1">
      <c r="A14" s="24" t="s">
        <v>20</v>
      </c>
      <c r="B14" s="25"/>
      <c r="D14" s="21"/>
      <c r="G14" s="22"/>
    </row>
    <row r="15" spans="1:13" s="2" customFormat="1" ht="15" customHeight="1">
      <c r="A15" s="26" t="s">
        <v>16</v>
      </c>
      <c r="B15" s="27"/>
      <c r="C15" s="22"/>
      <c r="D15" s="21"/>
      <c r="G15" s="22"/>
    </row>
    <row r="16" spans="1:13" s="2" customFormat="1" ht="15" customHeight="1">
      <c r="A16" s="21" t="s">
        <v>21</v>
      </c>
      <c r="C16" s="22"/>
      <c r="D16" s="21"/>
      <c r="G16" s="22"/>
    </row>
    <row r="17" spans="1:7" s="2" customFormat="1" ht="15" customHeight="1">
      <c r="A17" s="28" t="s">
        <v>19</v>
      </c>
      <c r="B17" s="11"/>
      <c r="C17" s="29"/>
      <c r="D17" s="21"/>
      <c r="G17" s="22"/>
    </row>
    <row r="18" spans="1:7" s="2" customFormat="1" ht="14.25" customHeight="1">
      <c r="A18" s="24" t="s">
        <v>22</v>
      </c>
      <c r="B18" s="86" t="s">
        <v>23</v>
      </c>
      <c r="C18" s="87"/>
      <c r="D18" s="21"/>
      <c r="G18" s="22"/>
    </row>
    <row r="19" spans="1:7" s="2" customFormat="1" ht="14.25" customHeight="1">
      <c r="A19" s="33" t="s">
        <v>24</v>
      </c>
      <c r="B19" s="88" t="s">
        <v>25</v>
      </c>
      <c r="C19" s="89"/>
      <c r="D19" s="21"/>
      <c r="G19" s="22"/>
    </row>
    <row r="20" spans="1:7" s="2" customFormat="1" ht="14.25" customHeight="1">
      <c r="A20" s="24" t="s">
        <v>26</v>
      </c>
      <c r="B20" s="86" t="s">
        <v>27</v>
      </c>
      <c r="C20" s="87"/>
      <c r="D20" s="21"/>
      <c r="G20" s="22"/>
    </row>
    <row r="21" spans="1:7" s="2" customFormat="1" ht="14.25" customHeight="1">
      <c r="A21" s="34" t="s">
        <v>47</v>
      </c>
      <c r="B21" s="93" t="str">
        <f>G3</f>
        <v>22/8/2026</v>
      </c>
      <c r="C21" s="94"/>
      <c r="D21" s="35"/>
      <c r="E21" s="11"/>
      <c r="F21" s="11"/>
      <c r="G21" s="29"/>
    </row>
    <row r="22" spans="1:7" s="2" customFormat="1" ht="14.25" customHeight="1">
      <c r="A22" s="36" t="s">
        <v>28</v>
      </c>
      <c r="B22" s="86" t="s">
        <v>29</v>
      </c>
      <c r="C22" s="87"/>
      <c r="D22" s="7" t="s">
        <v>30</v>
      </c>
      <c r="E22" s="7" t="s">
        <v>31</v>
      </c>
      <c r="F22" s="95" t="s">
        <v>32</v>
      </c>
      <c r="G22" s="96"/>
    </row>
    <row r="23" spans="1:7" s="2" customFormat="1" ht="14.25" customHeight="1">
      <c r="A23" s="21"/>
      <c r="G23" s="22"/>
    </row>
    <row r="24" spans="1:7" s="2" customFormat="1" ht="15.75" customHeight="1">
      <c r="A24" s="37" t="s">
        <v>33</v>
      </c>
      <c r="B24" s="27"/>
      <c r="C24" s="38"/>
      <c r="D24" s="39"/>
      <c r="E24" s="40"/>
      <c r="F24" s="40"/>
      <c r="G24" s="41"/>
    </row>
    <row r="25" spans="1:7" s="2" customFormat="1" ht="15.75" customHeight="1">
      <c r="A25" s="42" t="s">
        <v>34</v>
      </c>
      <c r="B25" s="27"/>
      <c r="C25" s="2" t="s">
        <v>35</v>
      </c>
      <c r="G25" s="22"/>
    </row>
    <row r="26" spans="1:7" s="2" customFormat="1" ht="15.75" customHeight="1">
      <c r="A26" s="43"/>
      <c r="B26" s="44"/>
      <c r="C26" s="45" t="s">
        <v>35</v>
      </c>
      <c r="D26" s="46">
        <v>45</v>
      </c>
      <c r="E26" s="47">
        <v>117868</v>
      </c>
      <c r="F26" s="97">
        <v>32643850.260000002</v>
      </c>
      <c r="G26" s="98"/>
    </row>
    <row r="27" spans="1:7" s="2" customFormat="1" ht="15.75" customHeight="1">
      <c r="A27" s="43"/>
      <c r="B27" s="44"/>
      <c r="C27" s="48" t="s">
        <v>36</v>
      </c>
      <c r="D27" s="49">
        <f>D26</f>
        <v>45</v>
      </c>
      <c r="E27" s="50">
        <f>E26</f>
        <v>117868</v>
      </c>
      <c r="F27" s="104">
        <f>F26</f>
        <v>32643850.260000002</v>
      </c>
      <c r="G27" s="105"/>
    </row>
    <row r="28" spans="1:7" s="2" customFormat="1" ht="15.95" customHeight="1">
      <c r="A28" s="43"/>
      <c r="B28" s="44"/>
      <c r="C28" s="48"/>
      <c r="D28" s="53"/>
      <c r="E28" s="54"/>
      <c r="F28" s="51"/>
      <c r="G28" s="52"/>
    </row>
    <row r="29" spans="1:7" s="2" customFormat="1" ht="16.5" customHeight="1">
      <c r="A29" s="106"/>
      <c r="B29" s="107"/>
      <c r="C29" s="107"/>
      <c r="D29" s="107"/>
      <c r="E29" s="107"/>
      <c r="F29" s="107"/>
      <c r="G29" s="108"/>
    </row>
    <row r="30" spans="1:7" s="2" customFormat="1" ht="16.5" customHeight="1">
      <c r="A30" s="55"/>
      <c r="B30" s="56"/>
      <c r="C30" s="56"/>
      <c r="D30" s="56"/>
      <c r="E30" s="56"/>
      <c r="F30" s="56"/>
      <c r="G30" s="57"/>
    </row>
    <row r="31" spans="1:7" s="3" customFormat="1" ht="17.25" customHeight="1">
      <c r="A31" s="58"/>
      <c r="G31" s="59"/>
    </row>
    <row r="32" spans="1:7" s="3" customFormat="1" ht="17.25" customHeight="1">
      <c r="A32" s="58"/>
      <c r="G32" s="59"/>
    </row>
    <row r="33" spans="1:7" s="3" customFormat="1" ht="15.75" customHeight="1">
      <c r="A33" s="90" t="s">
        <v>39</v>
      </c>
      <c r="B33" s="91"/>
      <c r="C33" s="91"/>
      <c r="D33" s="91"/>
      <c r="E33" s="91"/>
      <c r="F33" s="91"/>
      <c r="G33" s="92"/>
    </row>
    <row r="34" spans="1:7" s="3" customFormat="1" ht="15.75" customHeight="1">
      <c r="A34" s="101" t="s">
        <v>41</v>
      </c>
      <c r="B34" s="91"/>
      <c r="C34" s="91"/>
      <c r="D34" s="91"/>
      <c r="E34" s="91"/>
      <c r="F34" s="91"/>
      <c r="G34" s="92"/>
    </row>
    <row r="35" spans="1:7" s="3" customFormat="1" ht="15.75" customHeight="1">
      <c r="A35" s="101" t="s">
        <v>42</v>
      </c>
      <c r="B35" s="103"/>
      <c r="C35" s="103"/>
      <c r="D35" s="103"/>
      <c r="E35" s="103"/>
      <c r="F35" s="60"/>
      <c r="G35" s="61"/>
    </row>
    <row r="36" spans="1:7" s="3" customFormat="1" ht="17.25" customHeight="1">
      <c r="A36" s="101" t="s">
        <v>43</v>
      </c>
      <c r="B36" s="91"/>
      <c r="C36" s="91"/>
      <c r="D36" s="91"/>
      <c r="E36" s="91"/>
      <c r="F36" s="91"/>
      <c r="G36" s="92"/>
    </row>
    <row r="37" spans="1:7" s="3" customFormat="1" ht="17.25" customHeight="1">
      <c r="A37" s="101" t="s">
        <v>44</v>
      </c>
      <c r="B37" s="103"/>
      <c r="C37" s="103"/>
      <c r="D37" s="103"/>
      <c r="E37" s="103"/>
      <c r="F37" s="103"/>
      <c r="G37" s="59"/>
    </row>
    <row r="38" spans="1:7" s="3" customFormat="1" ht="15.75" customHeight="1">
      <c r="A38" s="101" t="s">
        <v>45</v>
      </c>
      <c r="B38" s="109"/>
      <c r="C38" s="109"/>
      <c r="D38" s="109"/>
      <c r="E38" s="109"/>
      <c r="F38" s="109"/>
      <c r="G38" s="59"/>
    </row>
    <row r="39" spans="1:7" s="76" customFormat="1" ht="15.75" customHeight="1">
      <c r="A39" s="101" t="s">
        <v>46</v>
      </c>
      <c r="B39" s="102"/>
      <c r="C39" s="102"/>
      <c r="D39" s="102"/>
      <c r="E39" s="102"/>
      <c r="F39" s="102"/>
      <c r="G39" s="77"/>
    </row>
    <row r="40" spans="1:7" s="3" customFormat="1" ht="15.75" customHeight="1">
      <c r="A40" s="58"/>
      <c r="G40" s="77"/>
    </row>
    <row r="41" spans="1:7" s="3" customFormat="1" ht="15.75" customHeight="1">
      <c r="A41" s="101"/>
      <c r="B41" s="103"/>
      <c r="C41" s="103"/>
      <c r="D41" s="103"/>
      <c r="E41" s="103"/>
      <c r="G41" s="59"/>
    </row>
    <row r="42" spans="1:7" s="3" customFormat="1" ht="15.75" customHeight="1">
      <c r="A42" s="101"/>
      <c r="B42" s="103"/>
      <c r="C42" s="103"/>
      <c r="D42" s="103"/>
      <c r="E42" s="103"/>
      <c r="F42" s="60"/>
      <c r="G42" s="59"/>
    </row>
    <row r="43" spans="1:7">
      <c r="A43" s="75"/>
      <c r="B43" s="76"/>
      <c r="C43" s="76"/>
      <c r="D43" s="76"/>
      <c r="E43" s="76"/>
      <c r="F43" s="76"/>
      <c r="G43" s="61"/>
    </row>
    <row r="44" spans="1:7" s="3" customFormat="1" ht="15.75" customHeight="1">
      <c r="A44" s="75"/>
      <c r="B44" s="76"/>
      <c r="C44" s="76"/>
      <c r="D44" s="76"/>
      <c r="E44" s="76"/>
      <c r="F44" s="76"/>
      <c r="G44" s="77"/>
    </row>
    <row r="45" spans="1:7" s="3" customFormat="1" ht="15.75" customHeight="1">
      <c r="A45" s="75"/>
      <c r="B45" s="78"/>
      <c r="C45" s="78"/>
      <c r="D45" s="78"/>
      <c r="E45" s="78"/>
      <c r="F45" s="78"/>
      <c r="G45" s="77"/>
    </row>
    <row r="46" spans="1:7" s="3" customFormat="1" ht="15.75" customHeight="1">
      <c r="A46" s="75"/>
      <c r="B46" s="76"/>
      <c r="C46" s="76"/>
      <c r="D46" s="76"/>
      <c r="E46" s="76"/>
      <c r="F46" s="76"/>
      <c r="G46" s="79"/>
    </row>
    <row r="47" spans="1:7" s="3" customFormat="1" ht="15.75" customHeight="1">
      <c r="A47" s="43"/>
      <c r="B47" s="44"/>
      <c r="C47" s="48"/>
      <c r="D47" s="53"/>
      <c r="E47" s="54"/>
      <c r="F47" s="51"/>
      <c r="G47" s="77"/>
    </row>
    <row r="48" spans="1:7" s="3" customFormat="1" ht="15.75" customHeight="1">
      <c r="A48" s="21"/>
      <c r="B48" s="2"/>
      <c r="C48" s="32"/>
      <c r="D48" s="62"/>
      <c r="E48" s="63"/>
      <c r="F48" s="64"/>
      <c r="G48" s="52"/>
    </row>
    <row r="49" spans="1:7" s="3" customFormat="1" ht="15.75" customHeight="1">
      <c r="A49" s="21"/>
      <c r="B49" s="2"/>
      <c r="C49" s="32"/>
      <c r="D49" s="62"/>
      <c r="E49" s="63"/>
      <c r="F49" s="64"/>
      <c r="G49" s="65"/>
    </row>
    <row r="50" spans="1:7" s="2" customFormat="1" ht="15.75" customHeight="1">
      <c r="A50" s="66"/>
      <c r="B50" s="4"/>
      <c r="C50" s="4"/>
      <c r="D50" s="4"/>
      <c r="E50" s="4"/>
      <c r="F50" s="4"/>
      <c r="G50" s="65"/>
    </row>
    <row r="51" spans="1:7" s="2" customFormat="1" ht="15.75" customHeight="1">
      <c r="A51" s="68"/>
      <c r="B51" s="69"/>
      <c r="C51" s="4"/>
      <c r="D51" s="4"/>
      <c r="E51" s="70" t="s">
        <v>37</v>
      </c>
      <c r="F51" s="4"/>
      <c r="G51" s="67"/>
    </row>
    <row r="52" spans="1:7" s="2" customFormat="1" ht="15.75" customHeight="1">
      <c r="A52" s="68" t="s">
        <v>38</v>
      </c>
      <c r="B52" s="69"/>
      <c r="C52" s="4"/>
      <c r="D52" s="4"/>
      <c r="E52" s="4"/>
      <c r="F52" s="4"/>
      <c r="G52" s="67"/>
    </row>
    <row r="53" spans="1:7" s="2" customFormat="1" ht="15.75" customHeight="1">
      <c r="A53" s="71"/>
      <c r="B53" s="72"/>
      <c r="C53" s="73"/>
      <c r="D53" s="73"/>
      <c r="E53" s="73"/>
      <c r="F53" s="73"/>
      <c r="G53" s="67"/>
    </row>
    <row r="54" spans="1:7" s="2" customFormat="1" ht="15.75" customHeight="1">
      <c r="A54" s="4"/>
      <c r="B54" s="4"/>
      <c r="C54" s="4"/>
      <c r="D54" s="4"/>
      <c r="E54" s="4"/>
      <c r="F54" s="4"/>
      <c r="G54" s="74"/>
    </row>
    <row r="55" spans="1:7" s="2" customFormat="1" ht="15.75" customHeight="1">
      <c r="A55" s="4"/>
      <c r="B55" s="4"/>
      <c r="C55" s="4"/>
      <c r="D55" s="4"/>
      <c r="E55" s="4"/>
      <c r="F55" s="4"/>
      <c r="G55" s="4"/>
    </row>
    <row r="56" spans="1:7" s="2" customFormat="1" ht="18.75" customHeight="1">
      <c r="A56" s="4"/>
      <c r="B56" s="4"/>
      <c r="C56" s="4"/>
      <c r="D56" s="4"/>
      <c r="E56" s="4"/>
      <c r="F56" s="4"/>
      <c r="G56" s="4"/>
    </row>
    <row r="59" spans="1:7" ht="24.75" customHeight="1"/>
    <row r="60" spans="1:7" ht="6.75" customHeight="1"/>
  </sheetData>
  <mergeCells count="22">
    <mergeCell ref="A41:E41"/>
    <mergeCell ref="A42:E42"/>
    <mergeCell ref="F27:G27"/>
    <mergeCell ref="A29:G29"/>
    <mergeCell ref="A38:F38"/>
    <mergeCell ref="A34:G34"/>
    <mergeCell ref="A39:F39"/>
    <mergeCell ref="A37:F37"/>
    <mergeCell ref="A36:G36"/>
    <mergeCell ref="A35:E35"/>
    <mergeCell ref="A33:G33"/>
    <mergeCell ref="B20:C20"/>
    <mergeCell ref="B21:C21"/>
    <mergeCell ref="B22:C22"/>
    <mergeCell ref="F22:G22"/>
    <mergeCell ref="F26:G26"/>
    <mergeCell ref="D1:G1"/>
    <mergeCell ref="B2:C2"/>
    <mergeCell ref="D3:E3"/>
    <mergeCell ref="B18:C18"/>
    <mergeCell ref="B19:C19"/>
    <mergeCell ref="E11:F12"/>
  </mergeCells>
  <phoneticPr fontId="24" type="noConversion"/>
  <hyperlinks>
    <hyperlink ref="B5" r:id="rId1"/>
    <hyperlink ref="C3" r:id="rId2"/>
  </hyperlinks>
  <printOptions horizontalCentered="1" verticalCentered="1"/>
  <pageMargins left="0.27500000000000002" right="0.27500000000000002" top="0.70763888888888904" bottom="0.47152777777777799" header="0.51180555555555596" footer="0.51180555555555596"/>
  <pageSetup paperSize="9" scale="8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PACKING</vt:lpstr>
      <vt:lpstr>PACKING!Print_Area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</dc:creator>
  <cp:lastModifiedBy>微软用户</cp:lastModifiedBy>
  <cp:lastPrinted>2026-05-27T07:27:00Z</cp:lastPrinted>
  <dcterms:created xsi:type="dcterms:W3CDTF">1998-07-30T07:42:00Z</dcterms:created>
  <dcterms:modified xsi:type="dcterms:W3CDTF">2026-09-28T02:14:12Z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1D3F17E2">
    <vt:lpwstr/>
  </property>
  <property fmtid="{D5CDD505-2E9C-101B-9397-08002B2CF9AE}" pid="21" name="IVID13451200">
    <vt:lpwstr/>
  </property>
  <property fmtid="{D5CDD505-2E9C-101B-9397-08002B2CF9AE}" pid="22" name="IVID121617DE">
    <vt:lpwstr/>
  </property>
  <property fmtid="{D5CDD505-2E9C-101B-9397-08002B2CF9AE}" pid="23" name="IVID13691AF2">
    <vt:lpwstr/>
  </property>
  <property fmtid="{D5CDD505-2E9C-101B-9397-08002B2CF9AE}" pid="24" name="IVID1A3B0AF0">
    <vt:lpwstr/>
  </property>
  <property fmtid="{D5CDD505-2E9C-101B-9397-08002B2CF9AE}" pid="25" name="IVID373F12DB">
    <vt:lpwstr/>
  </property>
  <property fmtid="{D5CDD505-2E9C-101B-9397-08002B2CF9AE}" pid="26" name="IVID274B1CF5">
    <vt:lpwstr/>
  </property>
  <property fmtid="{D5CDD505-2E9C-101B-9397-08002B2CF9AE}" pid="27" name="IVID2B4E17FA">
    <vt:lpwstr/>
  </property>
  <property fmtid="{D5CDD505-2E9C-101B-9397-08002B2CF9AE}" pid="28" name="IVID253D11EF">
    <vt:lpwstr/>
  </property>
  <property fmtid="{D5CDD505-2E9C-101B-9397-08002B2CF9AE}" pid="29" name="IVID102124BA">
    <vt:lpwstr/>
  </property>
  <property fmtid="{D5CDD505-2E9C-101B-9397-08002B2CF9AE}" pid="30" name="IVID3D1509D0">
    <vt:lpwstr/>
  </property>
  <property fmtid="{D5CDD505-2E9C-101B-9397-08002B2CF9AE}" pid="31" name="IVID35641901">
    <vt:lpwstr/>
  </property>
  <property fmtid="{D5CDD505-2E9C-101B-9397-08002B2CF9AE}" pid="32" name="IVID45E1ED9">
    <vt:lpwstr/>
  </property>
  <property fmtid="{D5CDD505-2E9C-101B-9397-08002B2CF9AE}" pid="33" name="IVID324113D1">
    <vt:lpwstr/>
  </property>
  <property fmtid="{D5CDD505-2E9C-101B-9397-08002B2CF9AE}" pid="34" name="IVID1A2D1903">
    <vt:lpwstr/>
  </property>
  <property fmtid="{D5CDD505-2E9C-101B-9397-08002B2CF9AE}" pid="35" name="IVID222F6E42">
    <vt:lpwstr/>
  </property>
  <property fmtid="{D5CDD505-2E9C-101B-9397-08002B2CF9AE}" pid="36" name="IVID137012E9">
    <vt:lpwstr/>
  </property>
  <property fmtid="{D5CDD505-2E9C-101B-9397-08002B2CF9AE}" pid="37" name="IVID1A3517F4">
    <vt:lpwstr/>
  </property>
  <property fmtid="{D5CDD505-2E9C-101B-9397-08002B2CF9AE}" pid="38" name="IVID2B0E1302">
    <vt:lpwstr/>
  </property>
  <property fmtid="{D5CDD505-2E9C-101B-9397-08002B2CF9AE}" pid="39" name="IVID332E19D7">
    <vt:lpwstr/>
  </property>
  <property fmtid="{D5CDD505-2E9C-101B-9397-08002B2CF9AE}" pid="40" name="IVID22261800">
    <vt:lpwstr/>
  </property>
  <property fmtid="{D5CDD505-2E9C-101B-9397-08002B2CF9AE}" pid="41" name="IVID325116DE">
    <vt:lpwstr/>
  </property>
  <property fmtid="{D5CDD505-2E9C-101B-9397-08002B2CF9AE}" pid="42" name="IVID272C0FEF">
    <vt:lpwstr/>
  </property>
  <property fmtid="{D5CDD505-2E9C-101B-9397-08002B2CF9AE}" pid="43" name="IVID2C1E12D1">
    <vt:lpwstr/>
  </property>
  <property fmtid="{D5CDD505-2E9C-101B-9397-08002B2CF9AE}" pid="44" name="IVID21301CFB">
    <vt:lpwstr/>
  </property>
  <property fmtid="{D5CDD505-2E9C-101B-9397-08002B2CF9AE}" pid="45" name="IVID3E3A18EF">
    <vt:lpwstr/>
  </property>
  <property fmtid="{D5CDD505-2E9C-101B-9397-08002B2CF9AE}" pid="46" name="IVID19F42C31">
    <vt:lpwstr/>
  </property>
  <property fmtid="{D5CDD505-2E9C-101B-9397-08002B2CF9AE}" pid="47" name="IVID80A173A">
    <vt:lpwstr/>
  </property>
  <property fmtid="{D5CDD505-2E9C-101B-9397-08002B2CF9AE}" pid="48" name="IVID3D4D17F3">
    <vt:lpwstr/>
  </property>
  <property fmtid="{D5CDD505-2E9C-101B-9397-08002B2CF9AE}" pid="49" name="IVID2F2214CF">
    <vt:lpwstr/>
  </property>
  <property fmtid="{D5CDD505-2E9C-101B-9397-08002B2CF9AE}" pid="50" name="IVID212812E2">
    <vt:lpwstr/>
  </property>
  <property fmtid="{D5CDD505-2E9C-101B-9397-08002B2CF9AE}" pid="51" name="IVID174513DF">
    <vt:lpwstr/>
  </property>
  <property fmtid="{D5CDD505-2E9C-101B-9397-08002B2CF9AE}" pid="52" name="IVID33601201">
    <vt:lpwstr/>
  </property>
  <property fmtid="{D5CDD505-2E9C-101B-9397-08002B2CF9AE}" pid="53" name="IVID1D4016E6">
    <vt:lpwstr/>
  </property>
  <property fmtid="{D5CDD505-2E9C-101B-9397-08002B2CF9AE}" pid="54" name="IVID81113D2">
    <vt:lpwstr/>
  </property>
  <property fmtid="{D5CDD505-2E9C-101B-9397-08002B2CF9AE}" pid="55" name="IVID1D231201">
    <vt:lpwstr/>
  </property>
  <property fmtid="{D5CDD505-2E9C-101B-9397-08002B2CF9AE}" pid="56" name="IVID173E1206">
    <vt:lpwstr/>
  </property>
  <property fmtid="{D5CDD505-2E9C-101B-9397-08002B2CF9AE}" pid="57" name="IVID232310EC">
    <vt:lpwstr/>
  </property>
  <property fmtid="{D5CDD505-2E9C-101B-9397-08002B2CF9AE}" pid="58" name="IVID133D1AE5">
    <vt:lpwstr/>
  </property>
  <property fmtid="{D5CDD505-2E9C-101B-9397-08002B2CF9AE}" pid="59" name="IVIDF6113D9">
    <vt:lpwstr/>
  </property>
  <property fmtid="{D5CDD505-2E9C-101B-9397-08002B2CF9AE}" pid="60" name="IVID366A14F0">
    <vt:lpwstr/>
  </property>
  <property fmtid="{D5CDD505-2E9C-101B-9397-08002B2CF9AE}" pid="61" name="IVID362E14DB">
    <vt:lpwstr/>
  </property>
  <property fmtid="{D5CDD505-2E9C-101B-9397-08002B2CF9AE}" pid="62" name="IVID1F6511DB">
    <vt:lpwstr/>
  </property>
  <property fmtid="{D5CDD505-2E9C-101B-9397-08002B2CF9AE}" pid="63" name="IVID3F1D10E8">
    <vt:lpwstr/>
  </property>
  <property fmtid="{D5CDD505-2E9C-101B-9397-08002B2CF9AE}" pid="64" name="IVID144313EE">
    <vt:lpwstr/>
  </property>
  <property fmtid="{D5CDD505-2E9C-101B-9397-08002B2CF9AE}" pid="65" name="IVID316311F9">
    <vt:lpwstr/>
  </property>
  <property fmtid="{D5CDD505-2E9C-101B-9397-08002B2CF9AE}" pid="66" name="IVIDE0715F1">
    <vt:lpwstr/>
  </property>
  <property fmtid="{D5CDD505-2E9C-101B-9397-08002B2CF9AE}" pid="67" name="IVID240A1504">
    <vt:lpwstr/>
  </property>
  <property fmtid="{D5CDD505-2E9C-101B-9397-08002B2CF9AE}" pid="68" name="IVID3B5816EC">
    <vt:lpwstr/>
  </property>
  <property fmtid="{D5CDD505-2E9C-101B-9397-08002B2CF9AE}" pid="69" name="IVID351414F8">
    <vt:lpwstr/>
  </property>
  <property fmtid="{D5CDD505-2E9C-101B-9397-08002B2CF9AE}" pid="70" name="IVID2F251AE7">
    <vt:lpwstr/>
  </property>
  <property fmtid="{D5CDD505-2E9C-101B-9397-08002B2CF9AE}" pid="71" name="IVID2A5E1D03">
    <vt:lpwstr/>
  </property>
  <property fmtid="{D5CDD505-2E9C-101B-9397-08002B2CF9AE}" pid="72" name="IVID306310DF">
    <vt:lpwstr/>
  </property>
  <property fmtid="{D5CDD505-2E9C-101B-9397-08002B2CF9AE}" pid="73" name="IVID266F16CF">
    <vt:lpwstr/>
  </property>
  <property fmtid="{D5CDD505-2E9C-101B-9397-08002B2CF9AE}" pid="74" name="IVID307414D1">
    <vt:lpwstr/>
  </property>
  <property fmtid="{D5CDD505-2E9C-101B-9397-08002B2CF9AE}" pid="75" name="IVID344B1400">
    <vt:lpwstr/>
  </property>
  <property fmtid="{D5CDD505-2E9C-101B-9397-08002B2CF9AE}" pid="76" name="IVID135B1DF5">
    <vt:lpwstr/>
  </property>
  <property fmtid="{D5CDD505-2E9C-101B-9397-08002B2CF9AE}" pid="77" name="IVID1A3716D3">
    <vt:lpwstr/>
  </property>
  <property fmtid="{D5CDD505-2E9C-101B-9397-08002B2CF9AE}" pid="78" name="IVIDD1916DB">
    <vt:lpwstr/>
  </property>
  <property fmtid="{D5CDD505-2E9C-101B-9397-08002B2CF9AE}" pid="79" name="IVID11431AF1">
    <vt:lpwstr/>
  </property>
  <property fmtid="{D5CDD505-2E9C-101B-9397-08002B2CF9AE}" pid="80" name="IVID1B2C19F3">
    <vt:lpwstr/>
  </property>
  <property fmtid="{D5CDD505-2E9C-101B-9397-08002B2CF9AE}" pid="81" name="IVIDD5E0FE6">
    <vt:lpwstr/>
  </property>
  <property fmtid="{D5CDD505-2E9C-101B-9397-08002B2CF9AE}" pid="82" name="IVID162D1605">
    <vt:lpwstr/>
  </property>
  <property fmtid="{D5CDD505-2E9C-101B-9397-08002B2CF9AE}" pid="83" name="IVID14481408">
    <vt:lpwstr/>
  </property>
  <property fmtid="{D5CDD505-2E9C-101B-9397-08002B2CF9AE}" pid="84" name="IVID13061101">
    <vt:lpwstr/>
  </property>
  <property fmtid="{D5CDD505-2E9C-101B-9397-08002B2CF9AE}" pid="85" name="IVID322814F3">
    <vt:lpwstr/>
  </property>
  <property fmtid="{D5CDD505-2E9C-101B-9397-08002B2CF9AE}" pid="86" name="IVID2F6C14EF">
    <vt:lpwstr/>
  </property>
  <property fmtid="{D5CDD505-2E9C-101B-9397-08002B2CF9AE}" pid="87" name="IVID252617FB">
    <vt:lpwstr/>
  </property>
  <property fmtid="{D5CDD505-2E9C-101B-9397-08002B2CF9AE}" pid="88" name="IVID375016F1">
    <vt:lpwstr/>
  </property>
  <property fmtid="{D5CDD505-2E9C-101B-9397-08002B2CF9AE}" pid="89" name="IVID2A3614FA">
    <vt:lpwstr/>
  </property>
  <property fmtid="{D5CDD505-2E9C-101B-9397-08002B2CF9AE}" pid="90" name="KSOProductBuildVer">
    <vt:lpwstr>2052-12.1.0.28043</vt:lpwstr>
  </property>
  <property fmtid="{D5CDD505-2E9C-101B-9397-08002B2CF9AE}" pid="91" name="ICV">
    <vt:lpwstr>0B592E9C4577445EB17A41AFBF15DEED</vt:lpwstr>
  </property>
  <property fmtid="{D5CDD505-2E9C-101B-9397-08002B2CF9AE}" pid="92" name="CalculationRule">
    <vt:i4>0</vt:i4>
  </property>
</Properties>
</file>